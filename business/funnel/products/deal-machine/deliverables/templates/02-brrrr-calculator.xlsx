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RRR Calculator" state="visible" r:id="rId4"/>
  </sheets>
  <calcPr calcId="171027"/>
</workbook>
</file>

<file path=xl/sharedStrings.xml><?xml version="1.0" encoding="utf-8"?>
<sst xmlns="http://schemas.openxmlformats.org/spreadsheetml/2006/main" count="64" uniqueCount="48">
  <si>
    <t>BRRRR CALCULATOR</t>
  </si>
  <si>
    <t>Buy-Rehab-Rent-Refinance-Repeat — Module 3</t>
  </si>
  <si>
    <t>ACQUISITION</t>
  </si>
  <si>
    <t>Item</t>
  </si>
  <si>
    <t>Amount</t>
  </si>
  <si>
    <t>Notes</t>
  </si>
  <si>
    <t/>
  </si>
  <si>
    <t>Purchase Price</t>
  </si>
  <si>
    <t>Closing Costs</t>
  </si>
  <si>
    <t>~2-3% of purchase</t>
  </si>
  <si>
    <t>Rehab Budget</t>
  </si>
  <si>
    <t>Contractor SOW total</t>
  </si>
  <si>
    <t>Total Investment</t>
  </si>
  <si>
    <t>All cash in</t>
  </si>
  <si>
    <t>RENT</t>
  </si>
  <si>
    <t>Monthly</t>
  </si>
  <si>
    <t>Annual</t>
  </si>
  <si>
    <t>Gross Rent</t>
  </si>
  <si>
    <t>Vacancy (8%)</t>
  </si>
  <si>
    <t>Property Management (10%)</t>
  </si>
  <si>
    <t>Maintenance (5%)</t>
  </si>
  <si>
    <t>Insurance</t>
  </si>
  <si>
    <t>Property Taxes</t>
  </si>
  <si>
    <t>Net Operating Income</t>
  </si>
  <si>
    <t>REFINANCE</t>
  </si>
  <si>
    <t>After Repair Value (ARV)</t>
  </si>
  <si>
    <t>Appraised value post-rehab</t>
  </si>
  <si>
    <t>Loan Amount (75% LTV)</t>
  </si>
  <si>
    <t>75% cash-out refi</t>
  </si>
  <si>
    <t>Cash Returned to You</t>
  </si>
  <si>
    <t>Refi loan - Total investment</t>
  </si>
  <si>
    <t>Cash Left in Deal</t>
  </si>
  <si>
    <t>Goal: $0 or less</t>
  </si>
  <si>
    <t>Monthly Mortgage Payment</t>
  </si>
  <si>
    <t>P&amp;I on refi loan</t>
  </si>
  <si>
    <t>RETURNS</t>
  </si>
  <si>
    <t>Metric</t>
  </si>
  <si>
    <t>Value</t>
  </si>
  <si>
    <t>Target</t>
  </si>
  <si>
    <t>Monthly Cash Flow</t>
  </si>
  <si>
    <t>$200+ per unit</t>
  </si>
  <si>
    <t>Annual Cash Flow</t>
  </si>
  <si>
    <t>$2,400+ per unit</t>
  </si>
  <si>
    <t>Cash-on-Cash Return</t>
  </si>
  <si>
    <t>12%+ target</t>
  </si>
  <si>
    <t>Equity Created</t>
  </si>
  <si>
    <t>Forced appreciation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</si>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</sst>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2" customWidth="1"/>
    <col min="2" max="2" width="18" customWidth="1"/>
    <col min="3" max="3" width="22" customWidth="1"/>
    <col min="4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s="4" t="s">
        <v>5</v>
      </c>
      <c r="D5" t="s">
        <v>6</v>
      </c>
    </row>
    <row r="6" spans="1:3" x14ac:dyDescent="0.25">
      <c r="A6" s="5" t="s">
        <v>7</v>
      </c>
      <c r="B6" s="5" t="s">
        <v>6</v>
      </c>
      <c r="C6" s="5" t="s">
        <v>6</v>
      </c>
    </row>
    <row r="7" spans="1:3" x14ac:dyDescent="0.25">
      <c r="A7" t="s">
        <v>8</v>
      </c>
      <c r="B7" t="s">
        <v>6</v>
      </c>
      <c r="C7" t="s">
        <v>9</v>
      </c>
    </row>
    <row r="8" spans="1:3" x14ac:dyDescent="0.25">
      <c r="A8" s="5" t="s">
        <v>10</v>
      </c>
      <c r="B8" s="5" t="s">
        <v>6</v>
      </c>
      <c r="C8" s="5" t="s">
        <v>11</v>
      </c>
    </row>
    <row r="9" spans="1:3" x14ac:dyDescent="0.25">
      <c r="A9" t="s">
        <v>12</v>
      </c>
      <c r="B9">
        <f>B6+B7+B8</f>
      </c>
      <c r="C9" t="s">
        <v>13</v>
      </c>
    </row>
    <row r="11" ht="25" customHeight="1" spans="1:4" x14ac:dyDescent="0.25">
      <c r="A11" s="3" t="s">
        <v>14</v>
      </c>
      <c r="B11" s="3"/>
      <c r="C11" s="3"/>
      <c r="D11" s="3"/>
    </row>
    <row r="12" ht="25" customHeight="1" spans="1:4" x14ac:dyDescent="0.25">
      <c r="A12" s="4" t="s">
        <v>3</v>
      </c>
      <c r="B12" s="4" t="s">
        <v>15</v>
      </c>
      <c r="C12" s="4" t="s">
        <v>16</v>
      </c>
      <c r="D12" t="s">
        <v>6</v>
      </c>
    </row>
    <row r="13" spans="1:3" x14ac:dyDescent="0.25">
      <c r="A13" t="s">
        <v>17</v>
      </c>
      <c r="B13" t="s">
        <v>6</v>
      </c>
      <c r="C13">
        <f>B13*12</f>
      </c>
    </row>
    <row r="14" spans="1:3" x14ac:dyDescent="0.25">
      <c r="A14" s="5" t="s">
        <v>18</v>
      </c>
      <c r="B14" s="5">
        <f>B13*0.08</f>
      </c>
      <c r="C14" s="5">
        <f>B14*12</f>
      </c>
    </row>
    <row r="15" spans="1:3" x14ac:dyDescent="0.25">
      <c r="A15" t="s">
        <v>19</v>
      </c>
      <c r="B15">
        <f>B13*0.1</f>
      </c>
      <c r="C15">
        <f>B15*12</f>
      </c>
    </row>
    <row r="16" spans="1:3" x14ac:dyDescent="0.25">
      <c r="A16" s="5" t="s">
        <v>20</v>
      </c>
      <c r="B16" s="5">
        <f>B13*0.05</f>
      </c>
      <c r="C16" s="5">
        <f>B16*12</f>
      </c>
    </row>
    <row r="17" spans="1:3" x14ac:dyDescent="0.25">
      <c r="A17" t="s">
        <v>21</v>
      </c>
      <c r="B17" t="s">
        <v>6</v>
      </c>
      <c r="C17">
        <f>B17*12</f>
      </c>
    </row>
    <row r="18" spans="1:3" x14ac:dyDescent="0.25">
      <c r="A18" s="5" t="s">
        <v>22</v>
      </c>
      <c r="B18" s="5" t="s">
        <v>6</v>
      </c>
      <c r="C18" s="5">
        <f>B18*12</f>
      </c>
    </row>
    <row r="19" spans="1:3" x14ac:dyDescent="0.25">
      <c r="A19" t="s">
        <v>23</v>
      </c>
      <c r="B19">
        <f>B13-B14-B15-B16-B17-B18</f>
      </c>
      <c r="C19">
        <f>B19*12</f>
      </c>
    </row>
    <row r="21" ht="25" customHeight="1" spans="1:4" x14ac:dyDescent="0.25">
      <c r="A21" s="3" t="s">
        <v>24</v>
      </c>
      <c r="B21" s="3"/>
      <c r="C21" s="3"/>
      <c r="D21" s="3"/>
    </row>
    <row r="22" ht="25" customHeight="1" spans="1:4" x14ac:dyDescent="0.25">
      <c r="A22" s="4" t="s">
        <v>3</v>
      </c>
      <c r="B22" s="4" t="s">
        <v>4</v>
      </c>
      <c r="C22" s="4" t="s">
        <v>5</v>
      </c>
      <c r="D22" t="s">
        <v>6</v>
      </c>
    </row>
    <row r="23" spans="1:3" x14ac:dyDescent="0.25">
      <c r="A23" t="s">
        <v>25</v>
      </c>
      <c r="B23" t="s">
        <v>6</v>
      </c>
      <c r="C23" t="s">
        <v>26</v>
      </c>
    </row>
    <row r="24" spans="1:3" x14ac:dyDescent="0.25">
      <c r="A24" s="5" t="s">
        <v>27</v>
      </c>
      <c r="B24" s="5">
        <f>B23*0.75</f>
      </c>
      <c r="C24" s="5" t="s">
        <v>28</v>
      </c>
    </row>
    <row r="25" spans="1:3" x14ac:dyDescent="0.25">
      <c r="A25" t="s">
        <v>29</v>
      </c>
      <c r="B25">
        <f>B24-B9</f>
      </c>
      <c r="C25" t="s">
        <v>30</v>
      </c>
    </row>
    <row r="26" spans="1:3" x14ac:dyDescent="0.25">
      <c r="A26" s="5" t="s">
        <v>31</v>
      </c>
      <c r="B26" s="5">
        <f>IF(B25&gt;0,0,ABS(B25))</f>
      </c>
      <c r="C26" s="5" t="s">
        <v>32</v>
      </c>
    </row>
    <row r="27" spans="1:3" x14ac:dyDescent="0.25">
      <c r="A27" t="s">
        <v>33</v>
      </c>
      <c r="B27" t="s">
        <v>6</v>
      </c>
      <c r="C27" t="s">
        <v>34</v>
      </c>
    </row>
    <row r="29" ht="25" customHeight="1" spans="1:4" x14ac:dyDescent="0.25">
      <c r="A29" s="3" t="s">
        <v>35</v>
      </c>
      <c r="B29" s="3"/>
      <c r="C29" s="3"/>
      <c r="D29" s="3"/>
    </row>
    <row r="30" ht="25" customHeight="1" spans="1:4" x14ac:dyDescent="0.25">
      <c r="A30" s="4" t="s">
        <v>36</v>
      </c>
      <c r="B30" s="4" t="s">
        <v>37</v>
      </c>
      <c r="C30" s="4" t="s">
        <v>38</v>
      </c>
      <c r="D30" t="s">
        <v>6</v>
      </c>
    </row>
    <row r="31" spans="1:3" x14ac:dyDescent="0.25">
      <c r="A31" t="s">
        <v>39</v>
      </c>
      <c r="B31">
        <f>B19-B27</f>
      </c>
      <c r="C31" t="s">
        <v>40</v>
      </c>
    </row>
    <row r="32" spans="1:3" x14ac:dyDescent="0.25">
      <c r="A32" s="5" t="s">
        <v>41</v>
      </c>
      <c r="B32" s="5">
        <f>B31*12</f>
      </c>
      <c r="C32" s="5" t="s">
        <v>42</v>
      </c>
    </row>
    <row r="33" spans="1:3" x14ac:dyDescent="0.25">
      <c r="A33" t="s">
        <v>43</v>
      </c>
      <c r="B33">
        <f>IF(B26&gt;0,B32/B26*100,"INFINITE")</f>
      </c>
      <c r="C33" t="s">
        <v>44</v>
      </c>
    </row>
    <row r="34" spans="1:3" x14ac:dyDescent="0.25">
      <c r="A34" s="5" t="s">
        <v>45</v>
      </c>
      <c r="B34" s="5">
        <f>B23-B24</f>
      </c>
      <c r="C34" s="5" t="s">
        <v>46</v>
      </c>
    </row>
    <row r="37" spans="1:4" x14ac:dyDescent="0.25">
      <c r="A37" s="6" t="s">
        <v>47</v>
      </c>
      <c r="B37" s="6"/>
      <c r="C37" s="6"/>
      <c r="D37" s="6"/>
    </row>
  </sheetData>
  <mergeCells count="7">
    <mergeCell ref="A1:D1"/>
    <mergeCell ref="A2:D2"/>
    <mergeCell ref="A4:D4"/>
    <mergeCell ref="A11:D11"/>
    <mergeCell ref="A21:D21"/>
    <mergeCell ref="A29:D29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BRRRR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