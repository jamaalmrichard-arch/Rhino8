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lip Calculator" state="visible" r:id="rId4"/>
  </sheets>
  <calcPr calcId="171027"/>
</workbook>
</file>

<file path=xl/sharedStrings.xml><?xml version="1.0" encoding="utf-8"?>
<sst xmlns="http://schemas.openxmlformats.org/spreadsheetml/2006/main" count="74" uniqueCount="46">
  <si>
    <t>FIX &amp; FLIP PROFIT CALCULATOR</t>
  </si>
  <si>
    <t>The Deal Machine by J. Marque — Module 4</t>
  </si>
  <si>
    <t>ACQUISITION COSTS</t>
  </si>
  <si>
    <t>Item</t>
  </si>
  <si>
    <t>Amount</t>
  </si>
  <si>
    <t>Notes</t>
  </si>
  <si>
    <t>Purchase Price</t>
  </si>
  <si>
    <t/>
  </si>
  <si>
    <t>Closing Costs (Buy)</t>
  </si>
  <si>
    <t>~2-3%</t>
  </si>
  <si>
    <t>Total Acquisition</t>
  </si>
  <si>
    <t>REHAB COSTS</t>
  </si>
  <si>
    <t>Materials</t>
  </si>
  <si>
    <t>Labor</t>
  </si>
  <si>
    <t>Permits</t>
  </si>
  <si>
    <t>Contingency (10%)</t>
  </si>
  <si>
    <t>Total Rehab</t>
  </si>
  <si>
    <t>HOLDING COSTS</t>
  </si>
  <si>
    <t>Monthly</t>
  </si>
  <si>
    <t>Total (×months)</t>
  </si>
  <si>
    <t>Holding Period (months)</t>
  </si>
  <si>
    <t>Loan Interest</t>
  </si>
  <si>
    <t>Property Taxes</t>
  </si>
  <si>
    <t>Insurance</t>
  </si>
  <si>
    <t>Utilities</t>
  </si>
  <si>
    <t>Total Holding</t>
  </si>
  <si>
    <t>SELLING COSTS</t>
  </si>
  <si>
    <t>After Repair Value (ARV)</t>
  </si>
  <si>
    <t>Comparable sales</t>
  </si>
  <si>
    <t>Agent Commission (6%)</t>
  </si>
  <si>
    <t>Closing Costs (Sell)</t>
  </si>
  <si>
    <t>~2%</t>
  </si>
  <si>
    <t>Total Selling Costs</t>
  </si>
  <si>
    <t>PROFIT ANALYSIS</t>
  </si>
  <si>
    <t>Metric</t>
  </si>
  <si>
    <t>Value</t>
  </si>
  <si>
    <t>Target</t>
  </si>
  <si>
    <t>Net Profit</t>
  </si>
  <si>
    <t>$20K+ minimum</t>
  </si>
  <si>
    <t>ROI</t>
  </si>
  <si>
    <t>20%+ target</t>
  </si>
  <si>
    <t>Hold Period (months)</t>
  </si>
  <si>
    <t>3-6 months</t>
  </si>
  <si>
    <t>Annualized ROI</t>
  </si>
  <si>
    <t>40%+ target</t>
  </si>
  <si>
    <t>Money Decoded by J. Marque | moneydecodedbooks.com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</si>
</sst>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1A1A1A"/>
      <sz val="14"/>
    </font>
    <font>
      <i/>
      <color rgb="FF666666"/>
      <sz val="10"/>
    </font>
    <font>
      <b/>
      <color rgb="FFB8860B"/>
      <sz val="12"/>
    </font>
    <font>
      <b/>
      <color rgb="FFFFFFFF"/>
      <sz val="11"/>
    </font>
    <font>
      <i/>
      <color rgb="FF666666"/>
      <sz val="8"/>
    </font>
  </fonts>
  <fills count="4">
    <fill>
      <patternFill patternType="none"/>
    </fill>
    <fill>
      <patternFill patternType="gray125"/>
    </fill>
    <fill>
      <patternFill patternType="solid">
        <fgColor rgb="FFFAF8F2"/>
      </patternFill>
    </fill>
    <fill>
      <patternFill patternType="solid">
        <fgColor rgb="FFB8860B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B8860B"/>
      </bottom>
      <diagonal/>
    </border>
    <border>
      <left/>
      <right/>
      <top/>
      <bottom style="thin">
        <color rgb="FF8B691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1" xfId="0" applyFont="1" applyBorder="1"/>
    <xf numFmtId="0" fontId="4" fillId="3" borderId="2" xfId="0" applyFont="1" applyFill="1" applyBorder="1" applyAlignment="1">
      <alignment horizontal="center" vertical="center"/>
    </xf>
    <xf numFmtId="0" fontId="0" fillId="2" borderId="0" xfId="0" applyFill="1"/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2"/>
  <sheetFormatPr defaultRowHeight="15" outlineLevelRow="0" outlineLevelCol="0" x14ac:dyDescent="55"/>
  <cols>
    <col min="1" max="1" width="32" customWidth="1"/>
    <col min="2" max="2" width="18" customWidth="1"/>
    <col min="3" max="3" width="22" customWidth="1"/>
  </cols>
  <sheetData>
    <row r="1" ht="30" customHeight="1" spans="1:3" x14ac:dyDescent="0.25">
      <c r="A1" s="1" t="s">
        <v>0</v>
      </c>
      <c r="B1" s="1"/>
      <c r="C1" s="1"/>
    </row>
    <row r="2" spans="1:3" x14ac:dyDescent="0.25">
      <c r="A2" s="2" t="s">
        <v>1</v>
      </c>
      <c r="B2" s="2"/>
      <c r="C2" s="2"/>
    </row>
    <row r="4" ht="25" customHeight="1" spans="1:3" x14ac:dyDescent="0.25">
      <c r="A4" s="3" t="s">
        <v>2</v>
      </c>
      <c r="B4" s="3"/>
      <c r="C4" s="3"/>
    </row>
    <row r="5" ht="25" customHeight="1" spans="1:3" x14ac:dyDescent="0.25">
      <c r="A5" s="4" t="s">
        <v>3</v>
      </c>
      <c r="B5" s="4" t="s">
        <v>4</v>
      </c>
      <c r="C5" s="4" t="s">
        <v>5</v>
      </c>
    </row>
    <row r="6" spans="1:3" x14ac:dyDescent="0.25">
      <c r="A6" s="5" t="s">
        <v>6</v>
      </c>
      <c r="B6" s="5" t="s">
        <v>7</v>
      </c>
      <c r="C6" s="5" t="s">
        <v>7</v>
      </c>
    </row>
    <row r="7" spans="1:3" x14ac:dyDescent="0.25">
      <c r="A7" t="s">
        <v>8</v>
      </c>
      <c r="B7" t="s">
        <v>7</v>
      </c>
      <c r="C7" t="s">
        <v>9</v>
      </c>
    </row>
    <row r="8" spans="1:3" x14ac:dyDescent="0.25">
      <c r="A8" s="5" t="s">
        <v>10</v>
      </c>
      <c r="B8" s="5">
        <f>B6+B7</f>
      </c>
      <c r="C8" s="5" t="s">
        <v>7</v>
      </c>
    </row>
    <row r="10" ht="25" customHeight="1" spans="1:3" x14ac:dyDescent="0.25">
      <c r="A10" s="3" t="s">
        <v>11</v>
      </c>
      <c r="B10" s="3"/>
      <c r="C10" s="3"/>
    </row>
    <row r="11" ht="25" customHeight="1" spans="1:3" x14ac:dyDescent="0.25">
      <c r="A11" s="4" t="s">
        <v>3</v>
      </c>
      <c r="B11" s="4" t="s">
        <v>4</v>
      </c>
      <c r="C11" s="4" t="s">
        <v>5</v>
      </c>
    </row>
    <row r="12" spans="1:3" x14ac:dyDescent="0.25">
      <c r="A12" s="5" t="s">
        <v>12</v>
      </c>
      <c r="B12" s="5" t="s">
        <v>7</v>
      </c>
      <c r="C12" s="5" t="s">
        <v>7</v>
      </c>
    </row>
    <row r="13" spans="1:3" x14ac:dyDescent="0.25">
      <c r="A13" t="s">
        <v>13</v>
      </c>
      <c r="B13" t="s">
        <v>7</v>
      </c>
      <c r="C13" t="s">
        <v>7</v>
      </c>
    </row>
    <row r="14" spans="1:3" x14ac:dyDescent="0.25">
      <c r="A14" s="5" t="s">
        <v>14</v>
      </c>
      <c r="B14" s="5" t="s">
        <v>7</v>
      </c>
      <c r="C14" s="5" t="s">
        <v>7</v>
      </c>
    </row>
    <row r="15" spans="1:3" x14ac:dyDescent="0.25">
      <c r="A15" t="s">
        <v>15</v>
      </c>
      <c r="B15">
        <f>(B12+B13+B14)*0.1</f>
      </c>
      <c r="C15" t="s">
        <v>7</v>
      </c>
    </row>
    <row r="16" spans="1:3" x14ac:dyDescent="0.25">
      <c r="A16" s="5" t="s">
        <v>16</v>
      </c>
      <c r="B16" s="5">
        <f>B12+B13+B14+B15</f>
      </c>
      <c r="C16" s="5" t="s">
        <v>7</v>
      </c>
    </row>
    <row r="18" ht="25" customHeight="1" spans="1:3" x14ac:dyDescent="0.25">
      <c r="A18" s="3" t="s">
        <v>17</v>
      </c>
      <c r="B18" s="3"/>
      <c r="C18" s="3"/>
    </row>
    <row r="19" ht="25" customHeight="1" spans="1:3" x14ac:dyDescent="0.25">
      <c r="A19" s="4" t="s">
        <v>3</v>
      </c>
      <c r="B19" s="4" t="s">
        <v>18</v>
      </c>
      <c r="C19" s="4" t="s">
        <v>19</v>
      </c>
    </row>
    <row r="20" spans="1:3" x14ac:dyDescent="0.25">
      <c r="A20" t="s">
        <v>20</v>
      </c>
      <c r="B20" t="s">
        <v>7</v>
      </c>
      <c r="C20" t="s">
        <v>7</v>
      </c>
    </row>
    <row r="21" spans="1:3" x14ac:dyDescent="0.25">
      <c r="A21" t="s">
        <v>21</v>
      </c>
      <c r="B21" t="s">
        <v>7</v>
      </c>
      <c r="C21">
        <f>B21*B20</f>
      </c>
    </row>
    <row r="22" spans="1:3" x14ac:dyDescent="0.25">
      <c r="A22" s="5" t="s">
        <v>22</v>
      </c>
      <c r="B22" s="5" t="s">
        <v>7</v>
      </c>
      <c r="C22" s="5">
        <f>B22*B20</f>
      </c>
    </row>
    <row r="23" spans="1:3" x14ac:dyDescent="0.25">
      <c r="A23" t="s">
        <v>23</v>
      </c>
      <c r="B23" t="s">
        <v>7</v>
      </c>
      <c r="C23">
        <f>B23*B20</f>
      </c>
    </row>
    <row r="24" spans="1:3" x14ac:dyDescent="0.25">
      <c r="A24" s="5" t="s">
        <v>24</v>
      </c>
      <c r="B24" s="5" t="s">
        <v>7</v>
      </c>
      <c r="C24" s="5">
        <f>B24*B20</f>
      </c>
    </row>
    <row r="25" spans="1:3" x14ac:dyDescent="0.25">
      <c r="A25" t="s">
        <v>25</v>
      </c>
      <c r="B25" t="s">
        <v>7</v>
      </c>
      <c r="C25">
        <f>C21+C22+C23+C24</f>
      </c>
    </row>
    <row r="27" ht="25" customHeight="1" spans="1:3" x14ac:dyDescent="0.25">
      <c r="A27" s="3" t="s">
        <v>26</v>
      </c>
      <c r="B27" s="3"/>
      <c r="C27" s="3"/>
    </row>
    <row r="28" ht="25" customHeight="1" spans="1:3" x14ac:dyDescent="0.25">
      <c r="A28" s="4" t="s">
        <v>3</v>
      </c>
      <c r="B28" s="4" t="s">
        <v>4</v>
      </c>
      <c r="C28" s="4" t="s">
        <v>5</v>
      </c>
    </row>
    <row r="29" spans="1:3" x14ac:dyDescent="0.25">
      <c r="A29" t="s">
        <v>27</v>
      </c>
      <c r="B29" t="s">
        <v>7</v>
      </c>
      <c r="C29" t="s">
        <v>28</v>
      </c>
    </row>
    <row r="30" spans="1:3" x14ac:dyDescent="0.25">
      <c r="A30" s="5" t="s">
        <v>29</v>
      </c>
      <c r="B30" s="5">
        <f>B29*0.06</f>
      </c>
      <c r="C30" s="5" t="s">
        <v>7</v>
      </c>
    </row>
    <row r="31" spans="1:3" x14ac:dyDescent="0.25">
      <c r="A31" t="s">
        <v>30</v>
      </c>
      <c r="B31">
        <f>B29*0.02</f>
      </c>
      <c r="C31" t="s">
        <v>31</v>
      </c>
    </row>
    <row r="32" spans="1:3" x14ac:dyDescent="0.25">
      <c r="A32" s="5" t="s">
        <v>32</v>
      </c>
      <c r="B32" s="5">
        <f>B30+B31</f>
      </c>
      <c r="C32" s="5" t="s">
        <v>7</v>
      </c>
    </row>
    <row r="34" ht="25" customHeight="1" spans="1:3" x14ac:dyDescent="0.25">
      <c r="A34" s="3" t="s">
        <v>33</v>
      </c>
      <c r="B34" s="3"/>
      <c r="C34" s="3"/>
    </row>
    <row r="35" ht="25" customHeight="1" spans="1:3" x14ac:dyDescent="0.25">
      <c r="A35" s="4" t="s">
        <v>34</v>
      </c>
      <c r="B35" s="4" t="s">
        <v>35</v>
      </c>
      <c r="C35" s="4" t="s">
        <v>36</v>
      </c>
    </row>
    <row r="36" spans="1:3" x14ac:dyDescent="0.25">
      <c r="A36" s="5" t="s">
        <v>37</v>
      </c>
      <c r="B36" s="5">
        <f>B29-B8-B16-C25-B32</f>
      </c>
      <c r="C36" s="5" t="s">
        <v>38</v>
      </c>
    </row>
    <row r="37" spans="1:3" x14ac:dyDescent="0.25">
      <c r="A37" t="s">
        <v>39</v>
      </c>
      <c r="B37">
        <f>IF(B8&gt;0,B36/(B8+B16)*100,0)</f>
      </c>
      <c r="C37" t="s">
        <v>40</v>
      </c>
    </row>
    <row r="38" spans="1:3" x14ac:dyDescent="0.25">
      <c r="A38" s="5" t="s">
        <v>41</v>
      </c>
      <c r="B38" s="5">
        <f>B20</f>
      </c>
      <c r="C38" s="5" t="s">
        <v>42</v>
      </c>
    </row>
    <row r="39" spans="1:3" x14ac:dyDescent="0.25">
      <c r="A39" t="s">
        <v>43</v>
      </c>
      <c r="B39">
        <f>IF(B20&gt;0,B37*(12/B20),0)</f>
      </c>
      <c r="C39" t="s">
        <v>44</v>
      </c>
    </row>
    <row r="42" spans="1:3" x14ac:dyDescent="0.25">
      <c r="A42" s="6" t="s">
        <v>45</v>
      </c>
      <c r="B42" s="6"/>
      <c r="C42" s="6"/>
    </row>
  </sheetData>
  <mergeCells count="8">
    <mergeCell ref="A1:C1"/>
    <mergeCell ref="A2:C2"/>
    <mergeCell ref="A4:C4"/>
    <mergeCell ref="A10:C10"/>
    <mergeCell ref="A18:C18"/>
    <mergeCell ref="A27:C27"/>
    <mergeCell ref="A34:C34"/>
    <mergeCell ref="A42:C4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Flip Calculator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2026-03-05T21:36:20Z</dcterms:created>
  <dcterms:modified xsi:type="dcterms:W3CDTF">2026-03-05T21:36:20Z</dcterms:modified>
</cp:coreProperties>
</file>