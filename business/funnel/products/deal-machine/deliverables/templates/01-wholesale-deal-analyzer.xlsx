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al Analyzer" state="visible" r:id="rId4"/>
  </sheets>
  <calcPr calcId="171027"/>
</workbook>
</file>

<file path=xl/sharedStrings.xml><?xml version="1.0" encoding="utf-8"?>
<sst xmlns="http://schemas.openxmlformats.org/spreadsheetml/2006/main" count="53" uniqueCount="37">
  <si>
    <t>WHOLESALE DEAL ANALYZER</t>
  </si>
  <si>
    <t>The Deal Machine by J. Marque — Module 2</t>
  </si>
  <si>
    <t>PROPERTY INFORMATION</t>
  </si>
  <si>
    <t>Field</t>
  </si>
  <si>
    <t>Value</t>
  </si>
  <si>
    <t/>
  </si>
  <si>
    <t>Property Address</t>
  </si>
  <si>
    <t>City, State, ZIP</t>
  </si>
  <si>
    <t>Bedrooms / Bathrooms</t>
  </si>
  <si>
    <t>Square Footage</t>
  </si>
  <si>
    <t>Year Built</t>
  </si>
  <si>
    <t>Property Type</t>
  </si>
  <si>
    <t>Seller Name</t>
  </si>
  <si>
    <t>Seller Phone</t>
  </si>
  <si>
    <t>DEAL NUMBERS</t>
  </si>
  <si>
    <t>Metric</t>
  </si>
  <si>
    <t>Amount</t>
  </si>
  <si>
    <t>Formula</t>
  </si>
  <si>
    <t>After Repair Value (ARV)</t>
  </si>
  <si>
    <t>Market comps analysis</t>
  </si>
  <si>
    <t>Repair Estimate</t>
  </si>
  <si>
    <t>Contractor bids / $per sqft</t>
  </si>
  <si>
    <t>MAO (70% Rule)</t>
  </si>
  <si>
    <t>= ARV × 70% - Repairs</t>
  </si>
  <si>
    <t>Your Offer Price</t>
  </si>
  <si>
    <t>At or below MAO</t>
  </si>
  <si>
    <t>Assignment Fee</t>
  </si>
  <si>
    <t>Typically $5K-$15K</t>
  </si>
  <si>
    <t>Buyer Purchase Price</t>
  </si>
  <si>
    <t>= Offer + Assignment Fee</t>
  </si>
  <si>
    <t>Buyer Profit After Rehab</t>
  </si>
  <si>
    <t>= ARV - Buyer Price - Repairs</t>
  </si>
  <si>
    <t>Your ROI</t>
  </si>
  <si>
    <t>= Fee / Investment × 100</t>
  </si>
  <si>
    <t>DEAL DECISION</t>
  </si>
  <si>
    <t>Is MAO &gt;= Offer Price?</t>
  </si>
  <si>
    <t>Money Decoded by J. Marque | moneydecodedbooks.com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</si>
</sst>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1A1A1A"/>
      <sz val="14"/>
    </font>
    <font>
      <i/>
      <color rgb="FF666666"/>
      <sz val="10"/>
    </font>
    <font>
      <b/>
      <color rgb="FFB8860B"/>
      <sz val="12"/>
    </font>
    <font>
      <b/>
      <color rgb="FFFFFFFF"/>
      <sz val="11"/>
    </font>
    <font>
      <b/>
      <sz val="12"/>
    </font>
    <font>
      <i/>
      <color rgb="FF666666"/>
      <sz val="8"/>
    </font>
  </fonts>
  <fills count="4">
    <fill>
      <patternFill patternType="none"/>
    </fill>
    <fill>
      <patternFill patternType="gray125"/>
    </fill>
    <fill>
      <patternFill patternType="solid">
        <fgColor rgb="FFFAF8F2"/>
      </patternFill>
    </fill>
    <fill>
      <patternFill patternType="solid">
        <fgColor rgb="FFB8860B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B8860B"/>
      </bottom>
      <diagonal/>
    </border>
    <border>
      <left/>
      <right/>
      <top/>
      <bottom style="thin">
        <color rgb="FF8B691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1" xfId="0" applyFont="1" applyBorder="1"/>
    <xf numFmtId="0" fontId="4" fillId="3" borderId="2" xfId="0" applyFont="1" applyFill="1" applyBorder="1" applyAlignment="1">
      <alignment horizontal="center" vertical="center"/>
    </xf>
    <xf numFmtId="0" fontId="0" fillId="2" borderId="0" xfId="0" applyFill="1"/>
    <xf numFmtId="0" fontId="5" fillId="0" borderId="0" xfId="0" applyFont="1"/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FormatPr defaultRowHeight="15" outlineLevelRow="0" outlineLevelCol="0" x14ac:dyDescent="55"/>
  <cols>
    <col min="1" max="1" width="30" customWidth="1"/>
    <col min="2" max="5" width="18" customWidth="1"/>
  </cols>
  <sheetData>
    <row r="1" ht="30" customHeight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/>
      <c r="C2" s="2"/>
      <c r="D2" s="2"/>
      <c r="E2" s="2"/>
    </row>
    <row r="4" ht="25" customHeight="1" spans="1:5" x14ac:dyDescent="0.25">
      <c r="A4" s="3" t="s">
        <v>2</v>
      </c>
      <c r="B4" s="3"/>
      <c r="C4" s="3"/>
      <c r="D4" s="3"/>
      <c r="E4" s="3"/>
    </row>
    <row r="5" ht="25" customHeight="1" spans="1:5" x14ac:dyDescent="0.25">
      <c r="A5" s="4" t="s">
        <v>3</v>
      </c>
      <c r="B5" s="4" t="s">
        <v>4</v>
      </c>
      <c r="C5" t="s">
        <v>5</v>
      </c>
      <c r="D5" t="s">
        <v>5</v>
      </c>
      <c r="E5" t="s">
        <v>5</v>
      </c>
    </row>
    <row r="6" spans="1:2" x14ac:dyDescent="0.25">
      <c r="A6" s="5" t="s">
        <v>6</v>
      </c>
      <c r="B6" s="5" t="s">
        <v>5</v>
      </c>
    </row>
    <row r="7" spans="1:2" x14ac:dyDescent="0.25">
      <c r="A7" t="s">
        <v>7</v>
      </c>
      <c r="B7" t="s">
        <v>5</v>
      </c>
    </row>
    <row r="8" spans="1:2" x14ac:dyDescent="0.25">
      <c r="A8" s="5" t="s">
        <v>8</v>
      </c>
      <c r="B8" s="5" t="s">
        <v>5</v>
      </c>
    </row>
    <row r="9" spans="1:2" x14ac:dyDescent="0.25">
      <c r="A9" t="s">
        <v>9</v>
      </c>
      <c r="B9" t="s">
        <v>5</v>
      </c>
    </row>
    <row r="10" spans="1:2" x14ac:dyDescent="0.25">
      <c r="A10" s="5" t="s">
        <v>10</v>
      </c>
      <c r="B10" s="5" t="s">
        <v>5</v>
      </c>
    </row>
    <row r="11" spans="1:2" x14ac:dyDescent="0.25">
      <c r="A11" t="s">
        <v>11</v>
      </c>
      <c r="B11" t="s">
        <v>5</v>
      </c>
    </row>
    <row r="12" spans="1:2" x14ac:dyDescent="0.25">
      <c r="A12" s="5" t="s">
        <v>12</v>
      </c>
      <c r="B12" s="5" t="s">
        <v>5</v>
      </c>
    </row>
    <row r="13" spans="1:2" x14ac:dyDescent="0.25">
      <c r="A13" t="s">
        <v>13</v>
      </c>
      <c r="B13" t="s">
        <v>5</v>
      </c>
    </row>
    <row r="15" ht="25" customHeight="1" spans="1:5" x14ac:dyDescent="0.25">
      <c r="A15" s="3" t="s">
        <v>14</v>
      </c>
      <c r="B15" s="3"/>
      <c r="C15" s="3"/>
      <c r="D15" s="3"/>
      <c r="E15" s="3"/>
    </row>
    <row r="16" ht="25" customHeight="1" spans="1:5" x14ac:dyDescent="0.25">
      <c r="A16" s="4" t="s">
        <v>15</v>
      </c>
      <c r="B16" s="4" t="s">
        <v>16</v>
      </c>
      <c r="C16" s="4" t="s">
        <v>17</v>
      </c>
      <c r="D16" t="s">
        <v>5</v>
      </c>
      <c r="E16" t="s">
        <v>5</v>
      </c>
    </row>
    <row r="17" spans="1:3" x14ac:dyDescent="0.25">
      <c r="A17" t="s">
        <v>18</v>
      </c>
      <c r="B17" t="s">
        <v>5</v>
      </c>
      <c r="C17" t="s">
        <v>19</v>
      </c>
    </row>
    <row r="18" spans="1:3" x14ac:dyDescent="0.25">
      <c r="A18" s="5" t="s">
        <v>20</v>
      </c>
      <c r="B18" s="5" t="s">
        <v>5</v>
      </c>
      <c r="C18" s="5" t="s">
        <v>21</v>
      </c>
    </row>
    <row r="19" spans="1:3" x14ac:dyDescent="0.25">
      <c r="A19" t="s">
        <v>22</v>
      </c>
      <c r="B19">
        <f>B17*0.7-B18</f>
      </c>
      <c r="C19" t="s">
        <v>23</v>
      </c>
    </row>
    <row r="20" spans="1:3" x14ac:dyDescent="0.25">
      <c r="A20" s="5" t="s">
        <v>24</v>
      </c>
      <c r="B20" s="5" t="s">
        <v>5</v>
      </c>
      <c r="C20" s="5" t="s">
        <v>25</v>
      </c>
    </row>
    <row r="21" spans="1:3" x14ac:dyDescent="0.25">
      <c r="A21" t="s">
        <v>26</v>
      </c>
      <c r="B21" t="s">
        <v>5</v>
      </c>
      <c r="C21" t="s">
        <v>27</v>
      </c>
    </row>
    <row r="22" spans="1:3" x14ac:dyDescent="0.25">
      <c r="A22" s="5" t="s">
        <v>28</v>
      </c>
      <c r="B22" s="5">
        <f>B20+B21</f>
      </c>
      <c r="C22" s="5" t="s">
        <v>29</v>
      </c>
    </row>
    <row r="23" spans="1:3" x14ac:dyDescent="0.25">
      <c r="A23" t="s">
        <v>30</v>
      </c>
      <c r="B23">
        <f>B17-B22-B18</f>
      </c>
      <c r="C23" t="s">
        <v>31</v>
      </c>
    </row>
    <row r="24" spans="1:3" x14ac:dyDescent="0.25">
      <c r="A24" s="5" t="s">
        <v>32</v>
      </c>
      <c r="B24" s="5">
        <f>IF(B20&gt;0,B21/B20*100,0)</f>
      </c>
      <c r="C24" s="5" t="s">
        <v>33</v>
      </c>
    </row>
    <row r="26" ht="25" customHeight="1" spans="1:5" x14ac:dyDescent="0.25">
      <c r="A26" s="3" t="s">
        <v>34</v>
      </c>
      <c r="B26" s="3"/>
      <c r="C26" s="3"/>
      <c r="D26" s="3"/>
      <c r="E26" s="3"/>
    </row>
    <row r="27" spans="1:2" x14ac:dyDescent="0.25">
      <c r="A27" t="s">
        <v>35</v>
      </c>
      <c r="B27" s="6">
        <f>IF(B19&gt;=B20,"YES - PROCEED","NO - RENEGOTIATE")</f>
      </c>
    </row>
    <row r="30" spans="1:5" x14ac:dyDescent="0.25">
      <c r="A30" s="7" t="s">
        <v>36</v>
      </c>
      <c r="B30" s="7"/>
      <c r="C30" s="7"/>
      <c r="D30" s="7"/>
      <c r="E30" s="7"/>
    </row>
  </sheetData>
  <mergeCells count="6">
    <mergeCell ref="A1:E1"/>
    <mergeCell ref="A2:E2"/>
    <mergeCell ref="A4:E4"/>
    <mergeCell ref="A15:E15"/>
    <mergeCell ref="A26:E26"/>
    <mergeCell ref="A30:E3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Deal Analyzer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2026-03-05T21:36:20Z</dcterms:created>
  <dcterms:modified xsi:type="dcterms:W3CDTF">2026-03-05T21:36:20Z</dcterms:modified>
</cp:coreProperties>
</file>