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portunity Cost" state="visible" r:id="rId4"/>
  </sheets>
  <calcPr calcId="171027"/>
</workbook>
</file>

<file path=xl/sharedStrings.xml><?xml version="1.0" encoding="utf-8"?>
<sst xmlns="http://schemas.openxmlformats.org/spreadsheetml/2006/main" count="56" uniqueCount="31">
  <si>
    <t>OPPORTUNITY COST CALCULATOR</t>
  </si>
  <si>
    <t>Wall Street vs Main Street — Module 5, Calculator 3</t>
  </si>
  <si>
    <t>CURRENT POSITION (WALL STREET)</t>
  </si>
  <si>
    <t>Portfolio Value:</t>
  </si>
  <si>
    <t/>
  </si>
  <si>
    <t>Net Annual Return (after fees):</t>
  </si>
  <si>
    <t>(e.g., 5%)</t>
  </si>
  <si>
    <t>Annual Cash Income Generated:</t>
  </si>
  <si>
    <t>REPOSITIONED (MAIN STREET RE)</t>
  </si>
  <si>
    <t>Same Capital Deployed:</t>
  </si>
  <si>
    <t>Expected Total Return:</t>
  </si>
  <si>
    <t>(e.g., 13%)</t>
  </si>
  <si>
    <t>Cash-on-Cash Return:</t>
  </si>
  <si>
    <t>(e.g., 7%)</t>
  </si>
  <si>
    <t>Appreciation:</t>
  </si>
  <si>
    <t>(e.g., 3%)</t>
  </si>
  <si>
    <t>Mortgage Paydown:</t>
  </si>
  <si>
    <t>(e.g., 2%)</t>
  </si>
  <si>
    <t>Tax Benefits:</t>
  </si>
  <si>
    <t>(e.g., 1%)</t>
  </si>
  <si>
    <t>OPPORTUNITY COST</t>
  </si>
  <si>
    <t>Annual Return Gap:</t>
  </si>
  <si>
    <t>% per year</t>
  </si>
  <si>
    <t>Annual Dollar Gap:</t>
  </si>
  <si>
    <t>per year</t>
  </si>
  <si>
    <t>10-Year Opportunity Cost:</t>
  </si>
  <si>
    <t>over 10 years</t>
  </si>
  <si>
    <t>Annual Cash Flow from RE:</t>
  </si>
  <si>
    <t>Monthly Cash Flow from RE:</t>
  </si>
  <si>
    <t>per month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</si>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</sst>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CC0000"/>
      <sz val="14"/>
    </font>
    <font>
      <i/>
      <color rgb="FF666666"/>
      <sz val="8"/>
    </font>
  </fonts>
  <fills count="3">
    <fill>
      <patternFill patternType="none"/>
    </fill>
    <fill>
      <patternFill patternType="gray125"/>
    </fill>
    <fill>
      <patternFill patternType="solid">
        <fgColor rgb="FFFAF8F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8860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30" customWidth="1"/>
    <col min="2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/>
      <c r="C4" s="3"/>
      <c r="D4" s="3"/>
    </row>
    <row r="5" spans="1:4" x14ac:dyDescent="0.25">
      <c r="A5" t="s">
        <v>3</v>
      </c>
      <c r="B5" t="s">
        <v>4</v>
      </c>
      <c r="C5" t="s">
        <v>4</v>
      </c>
      <c r="D5" t="s">
        <v>4</v>
      </c>
    </row>
    <row r="6" spans="1:4" x14ac:dyDescent="0.25">
      <c r="A6" t="s">
        <v>5</v>
      </c>
      <c r="B6" t="s">
        <v>4</v>
      </c>
      <c r="C6" t="s">
        <v>6</v>
      </c>
      <c r="D6" t="s">
        <v>4</v>
      </c>
    </row>
    <row r="7" spans="1:4" x14ac:dyDescent="0.25">
      <c r="A7" t="s">
        <v>7</v>
      </c>
      <c r="B7" t="s">
        <v>4</v>
      </c>
      <c r="C7" t="s">
        <v>4</v>
      </c>
      <c r="D7" t="s">
        <v>4</v>
      </c>
    </row>
    <row r="9" ht="25" customHeight="1" spans="1:4" x14ac:dyDescent="0.25">
      <c r="A9" s="3" t="s">
        <v>8</v>
      </c>
      <c r="B9" s="3"/>
      <c r="C9" s="3"/>
      <c r="D9" s="3"/>
    </row>
    <row r="10" spans="1:4" x14ac:dyDescent="0.25">
      <c r="A10" t="s">
        <v>9</v>
      </c>
      <c r="B10">
        <f>B5</f>
      </c>
      <c r="C10" t="s">
        <v>4</v>
      </c>
      <c r="D10" t="s">
        <v>4</v>
      </c>
    </row>
    <row r="11" spans="1:4" x14ac:dyDescent="0.25">
      <c r="A11" t="s">
        <v>10</v>
      </c>
      <c r="B11" t="s">
        <v>4</v>
      </c>
      <c r="C11" t="s">
        <v>11</v>
      </c>
      <c r="D11" t="s">
        <v>4</v>
      </c>
    </row>
    <row r="12" spans="1:4" x14ac:dyDescent="0.25">
      <c r="A12" t="s">
        <v>12</v>
      </c>
      <c r="B12" t="s">
        <v>4</v>
      </c>
      <c r="C12" t="s">
        <v>13</v>
      </c>
      <c r="D12" t="s">
        <v>4</v>
      </c>
    </row>
    <row r="13" spans="1:4" x14ac:dyDescent="0.25">
      <c r="A13" t="s">
        <v>14</v>
      </c>
      <c r="B13" t="s">
        <v>4</v>
      </c>
      <c r="C13" t="s">
        <v>15</v>
      </c>
      <c r="D13" t="s">
        <v>4</v>
      </c>
    </row>
    <row r="14" spans="1:4" x14ac:dyDescent="0.25">
      <c r="A14" t="s">
        <v>16</v>
      </c>
      <c r="B14" t="s">
        <v>4</v>
      </c>
      <c r="C14" t="s">
        <v>17</v>
      </c>
      <c r="D14" t="s">
        <v>4</v>
      </c>
    </row>
    <row r="15" spans="1:4" x14ac:dyDescent="0.25">
      <c r="A15" t="s">
        <v>18</v>
      </c>
      <c r="B15" t="s">
        <v>4</v>
      </c>
      <c r="C15" t="s">
        <v>19</v>
      </c>
      <c r="D15" t="s">
        <v>4</v>
      </c>
    </row>
    <row r="17" ht="25" customHeight="1" spans="1:4" x14ac:dyDescent="0.25">
      <c r="A17" s="3" t="s">
        <v>20</v>
      </c>
      <c r="B17" s="3"/>
      <c r="C17" s="3"/>
      <c r="D17" s="3"/>
    </row>
    <row r="18" spans="1:4" x14ac:dyDescent="0.25">
      <c r="A18" t="s">
        <v>21</v>
      </c>
      <c r="B18">
        <f>B11-B6</f>
      </c>
      <c r="C18" t="s">
        <v>22</v>
      </c>
      <c r="D18" t="s">
        <v>4</v>
      </c>
    </row>
    <row r="19" spans="1:4" x14ac:dyDescent="0.25">
      <c r="A19" t="s">
        <v>23</v>
      </c>
      <c r="B19">
        <f>B5*(B11-B6)/100</f>
      </c>
      <c r="C19" t="s">
        <v>24</v>
      </c>
      <c r="D19" t="s">
        <v>4</v>
      </c>
    </row>
    <row r="20" spans="1:4" x14ac:dyDescent="0.25">
      <c r="A20" t="s">
        <v>25</v>
      </c>
      <c r="B20" s="4">
        <f>B19*10</f>
      </c>
      <c r="C20" t="s">
        <v>26</v>
      </c>
      <c r="D20" t="s">
        <v>4</v>
      </c>
    </row>
    <row r="21" spans="1:4" x14ac:dyDescent="0.25">
      <c r="A21" t="s">
        <v>27</v>
      </c>
      <c r="B21">
        <f>B5*B12/100</f>
      </c>
      <c r="C21" t="s">
        <v>24</v>
      </c>
      <c r="D21" t="s">
        <v>4</v>
      </c>
    </row>
    <row r="22" spans="1:4" x14ac:dyDescent="0.25">
      <c r="A22" t="s">
        <v>28</v>
      </c>
      <c r="B22">
        <f>B21/12</f>
      </c>
      <c r="C22" t="s">
        <v>29</v>
      </c>
      <c r="D22" t="s">
        <v>4</v>
      </c>
    </row>
    <row r="25" spans="1:4" x14ac:dyDescent="0.25">
      <c r="A25" s="5" t="s">
        <v>30</v>
      </c>
      <c r="B25" s="5"/>
      <c r="C25" s="5"/>
      <c r="D25" s="5"/>
    </row>
  </sheetData>
  <mergeCells count="6">
    <mergeCell ref="A1:D1"/>
    <mergeCell ref="A2:D2"/>
    <mergeCell ref="A4:D4"/>
    <mergeCell ref="A9:D9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Opportunity Cost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