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lacement Income" state="visible" r:id="rId4"/>
  </sheets>
  <calcPr calcId="171027"/>
</workbook>
</file>

<file path=xl/sharedStrings.xml><?xml version="1.0" encoding="utf-8"?>
<sst xmlns="http://schemas.openxmlformats.org/spreadsheetml/2006/main" count="42" uniqueCount="26">
  <si>
    <t>REPLACEMENT INCOME FORMULA</t>
  </si>
  <si>
    <t>The Wealth Shift by J. Marque — Module 5, Calculator 5</t>
  </si>
  <si>
    <t>YOUR TARGET</t>
  </si>
  <si>
    <t>Current W-2 Annual Income:</t>
  </si>
  <si>
    <t/>
  </si>
  <si>
    <t>Target Monthly Income (75%):</t>
  </si>
  <si>
    <t>(RE tax benefits = 75% replacement)</t>
  </si>
  <si>
    <t>Target Monthly Income (100%):</t>
  </si>
  <si>
    <t>(full replacement)</t>
  </si>
  <si>
    <t>SENSITIVITY ANALYSIS — Units Needed</t>
  </si>
  <si>
    <t>Cash Flow / Unit</t>
  </si>
  <si>
    <t>Units for 75%</t>
  </si>
  <si>
    <t>Units for 100%</t>
  </si>
  <si>
    <t>Total Equity Needed</t>
  </si>
  <si>
    <t>$400/month per unit</t>
  </si>
  <si>
    <t>$500/month per unit</t>
  </si>
  <si>
    <t>$750/month per unit</t>
  </si>
  <si>
    <t>$1000/month per unit</t>
  </si>
  <si>
    <t>$1500/month per unit</t>
  </si>
  <si>
    <t>YOUR PLAN</t>
  </si>
  <si>
    <t>Target cash flow per unit:</t>
  </si>
  <si>
    <t>Units needed:</t>
  </si>
  <si>
    <t>Acquisition timeline (years):</t>
  </si>
  <si>
    <t>Units per year:</t>
  </si>
  <si>
    <t>Units per month:</t>
  </si>
  <si>
    <t>Money Decoded by J. Marque | moneydecodedbooks.com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</si>
</sst>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A1A1A"/>
      <sz val="14"/>
    </font>
    <font>
      <i/>
      <color rgb="FF666666"/>
      <sz val="10"/>
    </font>
    <font>
      <b/>
      <color rgb="FFB8860B"/>
      <sz val="12"/>
    </font>
    <font>
      <b/>
      <color rgb="FFFFFFFF"/>
      <sz val="11"/>
    </font>
    <font>
      <i/>
      <color rgb="FF666666"/>
      <sz val="8"/>
    </font>
  </fonts>
  <fills count="4">
    <fill>
      <patternFill patternType="none"/>
    </fill>
    <fill>
      <patternFill patternType="gray125"/>
    </fill>
    <fill>
      <patternFill patternType="solid">
        <fgColor rgb="FFFAF8F2"/>
      </patternFill>
    </fill>
    <fill>
      <patternFill patternType="solid">
        <fgColor rgb="FFB8860B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B8860B"/>
      </bottom>
      <diagonal/>
    </border>
    <border>
      <left/>
      <right/>
      <top/>
      <bottom style="thin">
        <color rgb="FF8B691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" xfId="0" applyFont="1" applyBorder="1"/>
    <xf numFmtId="0" fontId="4" fillId="3" borderId="2" xfId="0" applyFont="1" applyFill="1" applyBorder="1" applyAlignment="1">
      <alignment horizontal="center" vertical="center"/>
    </xf>
    <xf numFmtId="0" fontId="0" fillId="2" borderId="0" xfId="0" applyFill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1" width="30" customWidth="1"/>
    <col min="2" max="4" width="18" customWidth="1"/>
  </cols>
  <sheetData>
    <row r="1" ht="30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ht="25" customHeight="1" spans="1:4" x14ac:dyDescent="0.25">
      <c r="A4" s="3" t="s">
        <v>2</v>
      </c>
      <c r="B4" s="3"/>
      <c r="C4" s="3"/>
      <c r="D4" s="3"/>
    </row>
    <row r="5" spans="1:4" x14ac:dyDescent="0.25">
      <c r="A5" t="s">
        <v>3</v>
      </c>
      <c r="B5" t="s">
        <v>4</v>
      </c>
      <c r="C5" t="s">
        <v>4</v>
      </c>
      <c r="D5" t="s">
        <v>4</v>
      </c>
    </row>
    <row r="6" spans="1:4" x14ac:dyDescent="0.25">
      <c r="A6" t="s">
        <v>5</v>
      </c>
      <c r="B6">
        <f>B5*0.75/12</f>
      </c>
      <c r="C6" t="s">
        <v>6</v>
      </c>
      <c r="D6" t="s">
        <v>4</v>
      </c>
    </row>
    <row r="7" spans="1:4" x14ac:dyDescent="0.25">
      <c r="A7" t="s">
        <v>7</v>
      </c>
      <c r="B7">
        <f>B5/12</f>
      </c>
      <c r="C7" t="s">
        <v>8</v>
      </c>
      <c r="D7" t="s">
        <v>4</v>
      </c>
    </row>
    <row r="9" ht="25" customHeight="1" spans="1:4" x14ac:dyDescent="0.25">
      <c r="A9" s="3" t="s">
        <v>9</v>
      </c>
      <c r="B9" s="3"/>
      <c r="C9" s="3"/>
      <c r="D9" s="3"/>
    </row>
    <row r="10" ht="25" customHeight="1" spans="1:4" x14ac:dyDescent="0.25">
      <c r="A10" s="4" t="s">
        <v>10</v>
      </c>
      <c r="B10" s="4" t="s">
        <v>11</v>
      </c>
      <c r="C10" s="4" t="s">
        <v>12</v>
      </c>
      <c r="D10" s="4" t="s">
        <v>13</v>
      </c>
    </row>
    <row r="11" spans="1:4" x14ac:dyDescent="0.25">
      <c r="A11" t="s">
        <v>14</v>
      </c>
      <c r="B11">
        <f>ROUNDUP(B6/400,0)</f>
      </c>
      <c r="C11">
        <f>ROUNDUP(B7/400,0)</f>
      </c>
      <c r="D11">
        <f>B11*30000</f>
      </c>
    </row>
    <row r="12" spans="1:4" x14ac:dyDescent="0.25">
      <c r="A12" s="5" t="s">
        <v>15</v>
      </c>
      <c r="B12" s="5">
        <f>ROUNDUP(B6/500,0)</f>
      </c>
      <c r="C12" s="5">
        <f>ROUNDUP(B7/500,0)</f>
      </c>
      <c r="D12" s="5">
        <f>B12*30000</f>
      </c>
    </row>
    <row r="13" spans="1:4" x14ac:dyDescent="0.25">
      <c r="A13" t="s">
        <v>16</v>
      </c>
      <c r="B13">
        <f>ROUNDUP(B6/750,0)</f>
      </c>
      <c r="C13">
        <f>ROUNDUP(B7/750,0)</f>
      </c>
      <c r="D13">
        <f>B13*30000</f>
      </c>
    </row>
    <row r="14" spans="1:4" x14ac:dyDescent="0.25">
      <c r="A14" s="5" t="s">
        <v>17</v>
      </c>
      <c r="B14" s="5">
        <f>ROUNDUP(B6/1000,0)</f>
      </c>
      <c r="C14" s="5">
        <f>ROUNDUP(B7/1000,0)</f>
      </c>
      <c r="D14" s="5">
        <f>B14*30000</f>
      </c>
    </row>
    <row r="15" spans="1:4" x14ac:dyDescent="0.25">
      <c r="A15" t="s">
        <v>18</v>
      </c>
      <c r="B15">
        <f>ROUNDUP(B6/1500,0)</f>
      </c>
      <c r="C15">
        <f>ROUNDUP(B7/1500,0)</f>
      </c>
      <c r="D15">
        <f>B15*30000</f>
      </c>
    </row>
    <row r="17" ht="25" customHeight="1" spans="1:4" x14ac:dyDescent="0.25">
      <c r="A17" s="3" t="s">
        <v>19</v>
      </c>
      <c r="B17" s="3"/>
      <c r="C17" s="3"/>
      <c r="D17" s="3"/>
    </row>
    <row r="18" spans="1:4" x14ac:dyDescent="0.25">
      <c r="A18" t="s">
        <v>20</v>
      </c>
      <c r="B18" t="s">
        <v>4</v>
      </c>
      <c r="C18" t="s">
        <v>4</v>
      </c>
      <c r="D18" t="s">
        <v>4</v>
      </c>
    </row>
    <row r="19" spans="1:4" x14ac:dyDescent="0.25">
      <c r="A19" t="s">
        <v>21</v>
      </c>
      <c r="B19">
        <f>ROUNDUP(B6/B18,0)</f>
      </c>
      <c r="C19" t="s">
        <v>4</v>
      </c>
      <c r="D19" t="s">
        <v>4</v>
      </c>
    </row>
    <row r="20" spans="1:4" x14ac:dyDescent="0.25">
      <c r="A20" t="s">
        <v>22</v>
      </c>
      <c r="B20" t="s">
        <v>4</v>
      </c>
      <c r="C20" t="s">
        <v>4</v>
      </c>
      <c r="D20" t="s">
        <v>4</v>
      </c>
    </row>
    <row r="21" spans="1:4" x14ac:dyDescent="0.25">
      <c r="A21" t="s">
        <v>23</v>
      </c>
      <c r="B21">
        <f>ROUNDUP(B19/B20,0)</f>
      </c>
      <c r="C21" t="s">
        <v>4</v>
      </c>
      <c r="D21" t="s">
        <v>4</v>
      </c>
    </row>
    <row r="22" spans="1:4" x14ac:dyDescent="0.25">
      <c r="A22" t="s">
        <v>24</v>
      </c>
      <c r="B22">
        <f>ROUNDUP(B21/12,0)</f>
      </c>
      <c r="C22" t="s">
        <v>4</v>
      </c>
      <c r="D22" t="s">
        <v>4</v>
      </c>
    </row>
    <row r="25" spans="1:4" x14ac:dyDescent="0.25">
      <c r="A25" s="6" t="s">
        <v>25</v>
      </c>
      <c r="B25" s="6"/>
      <c r="C25" s="6"/>
      <c r="D25" s="6"/>
    </row>
  </sheetData>
  <mergeCells count="6">
    <mergeCell ref="A1:D1"/>
    <mergeCell ref="A2:D2"/>
    <mergeCell ref="A4:D4"/>
    <mergeCell ref="A9:D9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Replacement Income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2026-03-05T21:36:20Z</dcterms:created>
  <dcterms:modified xsi:type="dcterms:W3CDTF">2026-03-05T21:36:20Z</dcterms:modified>
</cp:coreProperties>
</file>