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 Analysis" state="visible" r:id="rId4"/>
  </sheets>
  <calcPr calcId="171027"/>
</workbook>
</file>

<file path=xl/sharedStrings.xml><?xml version="1.0" encoding="utf-8"?>
<sst xmlns="http://schemas.openxmlformats.org/spreadsheetml/2006/main" count="48" uniqueCount="21">
  <si>
    <t>CURRENT PORTFOLIO ANALYSIS</t>
  </si>
  <si>
    <t>The Wealth Shift by J. Marque — Module 5, Calculator 1</t>
  </si>
  <si>
    <t>Account</t>
  </si>
  <si>
    <t>Balance</t>
  </si>
  <si>
    <t>Annual Fees %</t>
  </si>
  <si>
    <t>Gross Return %</t>
  </si>
  <si>
    <t>Net Return %</t>
  </si>
  <si>
    <t>Annual Fees $</t>
  </si>
  <si>
    <t>Net Real Return %</t>
  </si>
  <si>
    <t>401(k) — Current Employer</t>
  </si>
  <si>
    <t/>
  </si>
  <si>
    <t>401(k) — Former Employer</t>
  </si>
  <si>
    <t>Traditional IRA</t>
  </si>
  <si>
    <t>Roth IRA</t>
  </si>
  <si>
    <t>Brokerage Account</t>
  </si>
  <si>
    <t>TSP / 403(b)</t>
  </si>
  <si>
    <t>HSA</t>
  </si>
  <si>
    <t>Other</t>
  </si>
  <si>
    <t>TOTAL</t>
  </si>
  <si>
    <t>INSIGHT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</si>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</sst>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</font>
    <font>
      <b/>
      <color rgb="FFB8860B"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6914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5" fillId="0" borderId="2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22" customWidth="1"/>
    <col min="2" max="7" width="15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5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t="s">
        <v>9</v>
      </c>
      <c r="B5" t="s">
        <v>10</v>
      </c>
      <c r="C5" t="s">
        <v>10</v>
      </c>
      <c r="D5" t="s">
        <v>10</v>
      </c>
      <c r="E5">
        <f>D5-C5</f>
      </c>
      <c r="F5">
        <f>B5*C5/100</f>
      </c>
      <c r="G5">
        <f>E5-3</f>
      </c>
    </row>
    <row r="6" spans="1:7" x14ac:dyDescent="0.25">
      <c r="A6" s="4" t="s">
        <v>11</v>
      </c>
      <c r="B6" s="4" t="s">
        <v>10</v>
      </c>
      <c r="C6" s="4" t="s">
        <v>10</v>
      </c>
      <c r="D6" s="4" t="s">
        <v>10</v>
      </c>
      <c r="E6" s="4">
        <f>D6-C6</f>
      </c>
      <c r="F6" s="4">
        <f>B6*C6/100</f>
      </c>
      <c r="G6" s="4">
        <f>E6-3</f>
      </c>
    </row>
    <row r="7" spans="1:7" x14ac:dyDescent="0.25">
      <c r="A7" t="s">
        <v>12</v>
      </c>
      <c r="B7" t="s">
        <v>10</v>
      </c>
      <c r="C7" t="s">
        <v>10</v>
      </c>
      <c r="D7" t="s">
        <v>10</v>
      </c>
      <c r="E7">
        <f>D7-C7</f>
      </c>
      <c r="F7">
        <f>B7*C7/100</f>
      </c>
      <c r="G7">
        <f>E7-3</f>
      </c>
    </row>
    <row r="8" spans="1:7" x14ac:dyDescent="0.25">
      <c r="A8" s="4" t="s">
        <v>13</v>
      </c>
      <c r="B8" s="4" t="s">
        <v>10</v>
      </c>
      <c r="C8" s="4" t="s">
        <v>10</v>
      </c>
      <c r="D8" s="4" t="s">
        <v>10</v>
      </c>
      <c r="E8" s="4">
        <f>D8-C8</f>
      </c>
      <c r="F8" s="4">
        <f>B8*C8/100</f>
      </c>
      <c r="G8" s="4">
        <f>E8-3</f>
      </c>
    </row>
    <row r="9" spans="1:7" x14ac:dyDescent="0.25">
      <c r="A9" t="s">
        <v>14</v>
      </c>
      <c r="B9" t="s">
        <v>10</v>
      </c>
      <c r="C9" t="s">
        <v>10</v>
      </c>
      <c r="D9" t="s">
        <v>10</v>
      </c>
      <c r="E9">
        <f>D9-C9</f>
      </c>
      <c r="F9">
        <f>B9*C9/100</f>
      </c>
      <c r="G9">
        <f>E9-3</f>
      </c>
    </row>
    <row r="10" spans="1:7" x14ac:dyDescent="0.25">
      <c r="A10" s="4" t="s">
        <v>15</v>
      </c>
      <c r="B10" s="4" t="s">
        <v>10</v>
      </c>
      <c r="C10" s="4" t="s">
        <v>10</v>
      </c>
      <c r="D10" s="4" t="s">
        <v>10</v>
      </c>
      <c r="E10" s="4">
        <f>D10-C10</f>
      </c>
      <c r="F10" s="4">
        <f>B10*C10/100</f>
      </c>
      <c r="G10" s="4">
        <f>E10-3</f>
      </c>
    </row>
    <row r="11" spans="1:7" x14ac:dyDescent="0.25">
      <c r="A11" t="s">
        <v>16</v>
      </c>
      <c r="B11" t="s">
        <v>10</v>
      </c>
      <c r="C11" t="s">
        <v>10</v>
      </c>
      <c r="D11" t="s">
        <v>10</v>
      </c>
      <c r="E11">
        <f>D11-C11</f>
      </c>
      <c r="F11">
        <f>B11*C11/100</f>
      </c>
      <c r="G11">
        <f>E11-3</f>
      </c>
    </row>
    <row r="12" spans="1:7" x14ac:dyDescent="0.25">
      <c r="A12" s="4" t="s">
        <v>17</v>
      </c>
      <c r="B12" s="4" t="s">
        <v>10</v>
      </c>
      <c r="C12" s="4" t="s">
        <v>10</v>
      </c>
      <c r="D12" s="4" t="s">
        <v>10</v>
      </c>
      <c r="E12" s="4">
        <f>D12-C12</f>
      </c>
      <c r="F12" s="4">
        <f>B12*C12/100</f>
      </c>
      <c r="G12" s="4">
        <f>E12-3</f>
      </c>
    </row>
    <row r="13" spans="1:7" s="5" customFormat="1" x14ac:dyDescent="0.25">
      <c r="A13" s="5" t="s">
        <v>18</v>
      </c>
      <c r="B13" s="5">
        <f>SUM(B5:B12)</f>
      </c>
      <c r="C13" s="5" t="s">
        <v>10</v>
      </c>
      <c r="D13" s="5" t="s">
        <v>10</v>
      </c>
      <c r="E13" s="5" t="s">
        <v>10</v>
      </c>
      <c r="F13" s="5">
        <f>SUM(F5:F12)</f>
      </c>
      <c r="G13" s="5" t="s">
        <v>10</v>
      </c>
    </row>
    <row r="15" ht="25" customHeight="1" spans="1:7" x14ac:dyDescent="0.25">
      <c r="A15" s="6" t="s">
        <v>19</v>
      </c>
      <c r="B15" s="6"/>
      <c r="C15" s="6"/>
      <c r="D15" s="6"/>
      <c r="E15" s="6"/>
      <c r="F15" s="6"/>
      <c r="G15" s="6"/>
    </row>
    <row r="16" spans="1:7" x14ac:dyDescent="0.25">
      <c r="A16">
        <f>"You are paying $" &amp; TEXT(F13,"#,##0") &amp; " per year in fees. Over 20 years at current balance, that is $" &amp; TEXT(F13*20,"#,##0") &amp; " in extracted wealth."</f>
      </c>
      <c r="B16"/>
      <c r="C16"/>
      <c r="D16"/>
      <c r="E16"/>
      <c r="F16"/>
      <c r="G16"/>
    </row>
    <row r="18" spans="1:7" x14ac:dyDescent="0.25">
      <c r="A18" s="7" t="s">
        <v>20</v>
      </c>
      <c r="B18" s="7"/>
      <c r="C18" s="7"/>
      <c r="D18" s="7"/>
      <c r="E18" s="7"/>
      <c r="F18" s="7"/>
      <c r="G18" s="7"/>
    </row>
  </sheetData>
  <mergeCells count="5">
    <mergeCell ref="A1:G1"/>
    <mergeCell ref="A2:G2"/>
    <mergeCell ref="A15:G15"/>
    <mergeCell ref="A16:G16"/>
    <mergeCell ref="A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