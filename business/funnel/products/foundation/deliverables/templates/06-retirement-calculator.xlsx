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tirement Calculator" state="visible" r:id="rId4"/>
  </sheets>
  <calcPr calcId="171027"/>
</workbook>
</file>

<file path=xl/sharedStrings.xml><?xml version="1.0" encoding="utf-8"?>
<sst xmlns="http://schemas.openxmlformats.org/spreadsheetml/2006/main" count="71" uniqueCount="30">
  <si>
    <t>YOUR RETIREMENT NUMBER CALCULATOR</t>
  </si>
  <si>
    <t>The Foundation by J. Marque — Module 4</t>
  </si>
  <si>
    <t>STEP 1: Total Monthly Income Needed</t>
  </si>
  <si>
    <t>Category</t>
  </si>
  <si>
    <t>Monthly Amount</t>
  </si>
  <si>
    <t/>
  </si>
  <si>
    <t>Housing</t>
  </si>
  <si>
    <t>Utilities</t>
  </si>
  <si>
    <t>Food</t>
  </si>
  <si>
    <t>Transportation</t>
  </si>
  <si>
    <t>Health Insurance</t>
  </si>
  <si>
    <t>Life Insurance</t>
  </si>
  <si>
    <t>Entertainment / Travel</t>
  </si>
  <si>
    <t>Miscellaneous Buffer (10%)</t>
  </si>
  <si>
    <t>TARGET MONTHLY INCOME (TMI)</t>
  </si>
  <si>
    <t>STEP 2: Sensitivity Analysis</t>
  </si>
  <si>
    <t>Cash Flow / Unit</t>
  </si>
  <si>
    <t>Units Needed</t>
  </si>
  <si>
    <t>Capital Needed</t>
  </si>
  <si>
    <t>Time to Acquire</t>
  </si>
  <si>
    <t>$500/month/unit</t>
  </si>
  <si>
    <t>$750/month/unit</t>
  </si>
  <si>
    <t>$1000/month/unit</t>
  </si>
  <si>
    <t>$1500/month/unit</t>
  </si>
  <si>
    <t>STEP 3: Your Plan</t>
  </si>
  <si>
    <t>Your target CF/unit:</t>
  </si>
  <si>
    <t>Units needed (UNR):</t>
  </si>
  <si>
    <t>Target timeline (years):</t>
  </si>
  <si>
    <t>Units per year:</t>
  </si>
  <si>
    <t>Money Decoded by J. Marque | moneydecodedbooks.com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</si>
</sst>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A1A1A"/>
      <sz val="14"/>
    </font>
    <font>
      <i/>
      <color rgb="FF666666"/>
      <sz val="10"/>
    </font>
    <font>
      <b/>
      <color rgb="FFB8860B"/>
      <sz val="12"/>
    </font>
    <font>
      <b/>
      <color rgb="FFFFFFFF"/>
      <sz val="11"/>
    </font>
    <font>
      <b/>
      <sz val="12"/>
    </font>
    <font>
      <i/>
      <color rgb="FF666666"/>
      <sz val="8"/>
    </font>
  </fonts>
  <fills count="4">
    <fill>
      <patternFill patternType="none"/>
    </fill>
    <fill>
      <patternFill patternType="gray125"/>
    </fill>
    <fill>
      <patternFill patternType="solid">
        <fgColor rgb="FFFAF8F2"/>
      </patternFill>
    </fill>
    <fill>
      <patternFill patternType="solid">
        <fgColor rgb="FFB8860B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B8860B"/>
      </bottom>
      <diagonal/>
    </border>
    <border>
      <left/>
      <right/>
      <top/>
      <bottom style="thin">
        <color rgb="FF8B691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1" xfId="0" applyFont="1" applyBorder="1"/>
    <xf numFmtId="0" fontId="4" fillId="3" borderId="2" xfId="0" applyFont="1" applyFill="1" applyBorder="1" applyAlignment="1">
      <alignment horizontal="center" vertical="center"/>
    </xf>
    <xf numFmtId="0" fontId="0" fillId="2" borderId="0" xfId="0" applyFill="1"/>
    <xf numFmtId="0" fontId="5" fillId="0" borderId="0" xfId="0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FormatPr defaultRowHeight="15" outlineLevelRow="0" outlineLevelCol="0" x14ac:dyDescent="55"/>
  <cols>
    <col min="1" max="1" width="32" customWidth="1"/>
    <col min="2" max="4" width="18" customWidth="1"/>
  </cols>
  <sheetData>
    <row r="1" ht="30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ht="25" customHeight="1" spans="1:4" x14ac:dyDescent="0.25">
      <c r="A4" s="3" t="s">
        <v>2</v>
      </c>
      <c r="B4" s="3"/>
      <c r="C4" s="3"/>
      <c r="D4" s="3"/>
    </row>
    <row r="5" ht="25" customHeight="1" spans="1:4" x14ac:dyDescent="0.25">
      <c r="A5" s="4" t="s">
        <v>3</v>
      </c>
      <c r="B5" s="4" t="s">
        <v>4</v>
      </c>
      <c r="C5" t="s">
        <v>5</v>
      </c>
      <c r="D5" t="s">
        <v>5</v>
      </c>
    </row>
    <row r="6" spans="1:4" x14ac:dyDescent="0.25">
      <c r="A6" s="5" t="s">
        <v>6</v>
      </c>
      <c r="B6" s="5" t="s">
        <v>5</v>
      </c>
      <c r="C6" s="5" t="s">
        <v>5</v>
      </c>
      <c r="D6" s="5" t="s">
        <v>5</v>
      </c>
    </row>
    <row r="7" spans="1:4" x14ac:dyDescent="0.25">
      <c r="A7" t="s">
        <v>7</v>
      </c>
      <c r="B7" t="s">
        <v>5</v>
      </c>
      <c r="C7" t="s">
        <v>5</v>
      </c>
      <c r="D7" t="s">
        <v>5</v>
      </c>
    </row>
    <row r="8" spans="1:4" x14ac:dyDescent="0.25">
      <c r="A8" s="5" t="s">
        <v>8</v>
      </c>
      <c r="B8" s="5" t="s">
        <v>5</v>
      </c>
      <c r="C8" s="5" t="s">
        <v>5</v>
      </c>
      <c r="D8" s="5" t="s">
        <v>5</v>
      </c>
    </row>
    <row r="9" spans="1:4" x14ac:dyDescent="0.25">
      <c r="A9" t="s">
        <v>9</v>
      </c>
      <c r="B9" t="s">
        <v>5</v>
      </c>
      <c r="C9" t="s">
        <v>5</v>
      </c>
      <c r="D9" t="s">
        <v>5</v>
      </c>
    </row>
    <row r="10" spans="1:4" x14ac:dyDescent="0.25">
      <c r="A10" s="5" t="s">
        <v>10</v>
      </c>
      <c r="B10" s="5" t="s">
        <v>5</v>
      </c>
      <c r="C10" s="5" t="s">
        <v>5</v>
      </c>
      <c r="D10" s="5" t="s">
        <v>5</v>
      </c>
    </row>
    <row r="11" spans="1:4" x14ac:dyDescent="0.25">
      <c r="A11" t="s">
        <v>11</v>
      </c>
      <c r="B11" t="s">
        <v>5</v>
      </c>
      <c r="C11" t="s">
        <v>5</v>
      </c>
      <c r="D11" t="s">
        <v>5</v>
      </c>
    </row>
    <row r="12" spans="1:4" x14ac:dyDescent="0.25">
      <c r="A12" s="5" t="s">
        <v>12</v>
      </c>
      <c r="B12" s="5" t="s">
        <v>5</v>
      </c>
      <c r="C12" s="5" t="s">
        <v>5</v>
      </c>
      <c r="D12" s="5" t="s">
        <v>5</v>
      </c>
    </row>
    <row r="13" spans="1:4" x14ac:dyDescent="0.25">
      <c r="A13" t="s">
        <v>13</v>
      </c>
      <c r="B13" t="s">
        <v>5</v>
      </c>
      <c r="C13" t="s">
        <v>5</v>
      </c>
      <c r="D13" t="s">
        <v>5</v>
      </c>
    </row>
    <row r="14" spans="1:4" s="6" customFormat="1" x14ac:dyDescent="0.25">
      <c r="A14" s="6" t="s">
        <v>14</v>
      </c>
      <c r="B14" s="6">
        <f>SUM(B6:B13)</f>
      </c>
      <c r="C14" s="6" t="s">
        <v>5</v>
      </c>
      <c r="D14" s="6" t="s">
        <v>5</v>
      </c>
    </row>
    <row r="16" ht="25" customHeight="1" spans="1:4" x14ac:dyDescent="0.25">
      <c r="A16" s="3" t="s">
        <v>15</v>
      </c>
      <c r="B16" s="3"/>
      <c r="C16" s="3"/>
      <c r="D16" s="3"/>
    </row>
    <row r="17" ht="25" customHeight="1" spans="1:4" x14ac:dyDescent="0.25">
      <c r="A17" s="4" t="s">
        <v>16</v>
      </c>
      <c r="B17" s="4" t="s">
        <v>17</v>
      </c>
      <c r="C17" s="4" t="s">
        <v>18</v>
      </c>
      <c r="D17" s="4" t="s">
        <v>19</v>
      </c>
    </row>
    <row r="18" spans="1:4" x14ac:dyDescent="0.25">
      <c r="A18" s="5" t="s">
        <v>20</v>
      </c>
      <c r="B18" s="5">
        <f>ROUNDUP(B14/500,0)</f>
      </c>
      <c r="C18" s="5">
        <f>B18*30000</f>
      </c>
      <c r="D18" s="5" t="s">
        <v>5</v>
      </c>
    </row>
    <row r="19" spans="1:4" x14ac:dyDescent="0.25">
      <c r="A19" t="s">
        <v>21</v>
      </c>
      <c r="B19">
        <f>ROUNDUP(B14/750,0)</f>
      </c>
      <c r="C19">
        <f>B19*30000</f>
      </c>
      <c r="D19" t="s">
        <v>5</v>
      </c>
    </row>
    <row r="20" spans="1:4" x14ac:dyDescent="0.25">
      <c r="A20" s="5" t="s">
        <v>22</v>
      </c>
      <c r="B20" s="5">
        <f>ROUNDUP(B14/1000,0)</f>
      </c>
      <c r="C20" s="5">
        <f>B20*30000</f>
      </c>
      <c r="D20" s="5" t="s">
        <v>5</v>
      </c>
    </row>
    <row r="21" spans="1:4" x14ac:dyDescent="0.25">
      <c r="A21" t="s">
        <v>23</v>
      </c>
      <c r="B21">
        <f>ROUNDUP(B14/1500,0)</f>
      </c>
      <c r="C21">
        <f>B21*30000</f>
      </c>
      <c r="D21" t="s">
        <v>5</v>
      </c>
    </row>
    <row r="23" ht="25" customHeight="1" spans="1:4" x14ac:dyDescent="0.25">
      <c r="A23" s="3" t="s">
        <v>24</v>
      </c>
      <c r="B23" s="3"/>
      <c r="C23" s="3"/>
      <c r="D23" s="3"/>
    </row>
    <row r="24" spans="1:4" x14ac:dyDescent="0.25">
      <c r="A24" t="s">
        <v>25</v>
      </c>
      <c r="B24" t="s">
        <v>5</v>
      </c>
      <c r="C24" t="s">
        <v>5</v>
      </c>
      <c r="D24" t="s">
        <v>5</v>
      </c>
    </row>
    <row r="25" spans="1:4" x14ac:dyDescent="0.25">
      <c r="A25" t="s">
        <v>26</v>
      </c>
      <c r="B25">
        <f>ROUNDUP(B14/B24,0)</f>
      </c>
      <c r="C25" t="s">
        <v>5</v>
      </c>
      <c r="D25" t="s">
        <v>5</v>
      </c>
    </row>
    <row r="26" spans="1:4" x14ac:dyDescent="0.25">
      <c r="A26" t="s">
        <v>27</v>
      </c>
      <c r="B26" t="s">
        <v>5</v>
      </c>
      <c r="C26" t="s">
        <v>5</v>
      </c>
      <c r="D26" t="s">
        <v>5</v>
      </c>
    </row>
    <row r="27" spans="1:4" x14ac:dyDescent="0.25">
      <c r="A27" t="s">
        <v>28</v>
      </c>
      <c r="B27">
        <f>ROUNDUP(B25/B26,0)</f>
      </c>
      <c r="C27" t="s">
        <v>5</v>
      </c>
      <c r="D27" t="s">
        <v>5</v>
      </c>
    </row>
    <row r="30" spans="1:4" x14ac:dyDescent="0.25">
      <c r="A30" s="7" t="s">
        <v>29</v>
      </c>
      <c r="B30" s="7"/>
      <c r="C30" s="7"/>
      <c r="D30" s="7"/>
    </row>
  </sheetData>
  <mergeCells count="6">
    <mergeCell ref="A1:D1"/>
    <mergeCell ref="A2:D2"/>
    <mergeCell ref="A4:D4"/>
    <mergeCell ref="A16:D16"/>
    <mergeCell ref="A23:D23"/>
    <mergeCell ref="A30:D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Retirement Calculator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2026-03-05T21:36:20Z</dcterms:created>
  <dcterms:modified xsi:type="dcterms:W3CDTF">2026-03-05T21:36:20Z</dcterms:modified>
</cp:coreProperties>
</file>